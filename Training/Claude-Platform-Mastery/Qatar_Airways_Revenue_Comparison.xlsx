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 Overview" sheetId="1" state="visible" r:id="rId3"/>
    <sheet name="Revenue by Segment" sheetId="2" state="visible" r:id="rId4"/>
    <sheet name="Growth &amp; Rankings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Etihad 'Passenger &amp; Other' = Passenger revenue $5.7B + residual ancillary ~$0.1B (Total $6.9B - Passenger $5.7B - Cargo $1.1B). Source: Etihad FY2024 results release.</t>
        </r>
      </text>
    </comment>
  </commentList>
</comments>
</file>

<file path=xl/sharedStrings.xml><?xml version="1.0" encoding="utf-8"?>
<sst xmlns="http://schemas.openxmlformats.org/spreadsheetml/2006/main" count="91" uniqueCount="65">
  <si>
    <t xml:space="preserve">Qatar Airways vs. Global Aviation Industry — Revenue Comparison</t>
  </si>
  <si>
    <t xml:space="preserve">Latest full fiscal year per carrier (see Fiscal Year column). All figures in USD, converted from local reporting currency at company-stated rates.</t>
  </si>
  <si>
    <t xml:space="preserve">Airline / Group</t>
  </si>
  <si>
    <t xml:space="preserve">Fiscal Year</t>
  </si>
  <si>
    <t xml:space="preserve">Total Revenue ($B)</t>
  </si>
  <si>
    <t xml:space="preserve">Net Profit ($B)</t>
  </si>
  <si>
    <t xml:space="preserve">Profit Margin (%)</t>
  </si>
  <si>
    <t xml:space="preserve">Passengers Carried (M)</t>
  </si>
  <si>
    <t xml:space="preserve">Revenue per Passenger ($)</t>
  </si>
  <si>
    <t xml:space="preserve">Revenue Scope</t>
  </si>
  <si>
    <t xml:space="preserve">Qatar Airways Group</t>
  </si>
  <si>
    <t xml:space="preserve">FY2024/25 (Apr'24-Mar'25)</t>
  </si>
  <si>
    <t xml:space="preserve">n/d</t>
  </si>
  <si>
    <t xml:space="preserve">Group: airline + cargo + catering + Qatar Duty Free</t>
  </si>
  <si>
    <t xml:space="preserve">Emirates (airline)</t>
  </si>
  <si>
    <t xml:space="preserve">Airline only (excludes dnata)</t>
  </si>
  <si>
    <t xml:space="preserve">Etihad Airways</t>
  </si>
  <si>
    <t xml:space="preserve">CY2024 (Jan-Dec'24)</t>
  </si>
  <si>
    <t xml:space="preserve">Airline only</t>
  </si>
  <si>
    <t xml:space="preserve">Singapore Airlines Group</t>
  </si>
  <si>
    <t xml:space="preserve">Group: SIA + SIA Cargo + Scoot</t>
  </si>
  <si>
    <t xml:space="preserve">Industry total (4 carriers shown)</t>
  </si>
  <si>
    <t xml:space="preserve">Revenue Share of Comparison Set</t>
  </si>
  <si>
    <t xml:space="preserve">Revenue Share (%)</t>
  </si>
  <si>
    <t xml:space="preserve">Source: Qatar Airways Group Annual Report FY2024/25; Emirates Group Annual Report 2024/25; Etihad Airways FY2024 results announcement; Singapore Airlines Group FY2024/25 results (AeroTime). 'n/d' = not separately disclosed in cited sources.</t>
  </si>
  <si>
    <t xml:space="preserve">Revenue by Business Segment ($B, latest full fiscal year)</t>
  </si>
  <si>
    <t xml:space="preserve">Passenger revenue bundles ancillary/other where carriers do not separately disclose catering or retail revenue.</t>
  </si>
  <si>
    <t xml:space="preserve">Passenger &amp; Other Revenue ($B)</t>
  </si>
  <si>
    <t xml:space="preserve">Cargo Revenue ($B)</t>
  </si>
  <si>
    <t xml:space="preserve">Cargo % of Total</t>
  </si>
  <si>
    <t xml:space="preserve">Passenger &amp; Other % of Total</t>
  </si>
  <si>
    <t xml:space="preserve">Cargo Revenue YoY Growth</t>
  </si>
  <si>
    <t xml:space="preserve">+17%</t>
  </si>
  <si>
    <t xml:space="preserve">+24%</t>
  </si>
  <si>
    <t xml:space="preserve">Source: Qatar Airways Group Annual Report FY2024/25 (cargo = QAR17.9bn/$4.8bn, +17% YoY, 9% of group revenue); Emirates Group Annual Report 2024/25 (cargo = AED16.1bn/$4.4bn, 13% of airline revenue); Etihad Airways FY2024 results (passenger $5.7bn, cargo $1.1bn, +24% cargo YoY); Singapore Airlines Group FY2024/25 results (segment split not disclosed in cited sources).</t>
  </si>
  <si>
    <t xml:space="preserve">Growth &amp; Competitive Ranking Snapshot</t>
  </si>
  <si>
    <t xml:space="preserve">Revenue YoY Growth</t>
  </si>
  <si>
    <t xml:space="preserve">Net Profit YoY Growth</t>
  </si>
  <si>
    <t xml:space="preserve">Passenger Growth YoY</t>
  </si>
  <si>
    <t xml:space="preserve">2025/26 Skytrax / AirlineRatings Standing</t>
  </si>
  <si>
    <t xml:space="preserve">Leading Loyalty Program</t>
  </si>
  <si>
    <t xml:space="preserve">2026 Safety Ranking (AirlineRatings)</t>
  </si>
  <si>
    <t xml:space="preserve">+6%</t>
  </si>
  <si>
    <t xml:space="preserve">+28%</t>
  </si>
  <si>
    <t xml:space="preserve">n/d (FY25/26: 41.8M pax)</t>
  </si>
  <si>
    <t xml:space="preserve">#1 Skytrax World's Best Airline (9th time); #1 AirlineRatings 2026</t>
  </si>
  <si>
    <t xml:space="preserve">Privilege Club — #1 rated by Business Traveller readers 2025</t>
  </si>
  <si>
    <t xml:space="preserve">Top-tier; ranked behind Etihad</t>
  </si>
  <si>
    <t xml:space="preserve">+20% (pre-tax)</t>
  </si>
  <si>
    <t xml:space="preserve">+3% (53.7M pax)</t>
  </si>
  <si>
    <t xml:space="preserve">#3 Skytrax 2025</t>
  </si>
  <si>
    <t xml:space="preserve">Skywards — 'Best Global Airline Loyalty Program' 2025; 37M+ members</t>
  </si>
  <si>
    <t xml:space="preserve">Top-tier</t>
  </si>
  <si>
    <t xml:space="preserve">+25%</t>
  </si>
  <si>
    <t xml:space="preserve">+3x (tripled)</t>
  </si>
  <si>
    <t xml:space="preserve">+32% (18.5M pax)</t>
  </si>
  <si>
    <t xml:space="preserve">Not in Skytrax top 3; strong safety/ESG awards</t>
  </si>
  <si>
    <t xml:space="preserve">Etihad Guest — 10M+ members</t>
  </si>
  <si>
    <t xml:space="preserve">#1 AirlineRatings 2026 global safety index</t>
  </si>
  <si>
    <t xml:space="preserve">+2.8%</t>
  </si>
  <si>
    <t xml:space="preserve">+3.9%</t>
  </si>
  <si>
    <t xml:space="preserve">#2 Skytrax 2025</t>
  </si>
  <si>
    <t xml:space="preserve">KrisFlyer — top-3 for premium redemption value</t>
  </si>
  <si>
    <t xml:space="preserve">Growth rates as reported by each carrier for their latest full fiscal year vs. prior year (see Revenue Overview tab for fiscal-year definitions). Rankings per Skytrax World Airline Awards 2025, AirlineRatings World's Best Airlines 2026, and AirlineRatings/Cirium 2026 safety index.</t>
  </si>
  <si>
    <t xml:space="preserve">Revenue Comparison Dashboard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</si>
</sst>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%"/>
    <numFmt numFmtId="167" formatCode="\$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8A153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B2545"/>
      <name val="Arial"/>
      <family val="0"/>
      <charset val="1"/>
    </font>
    <font>
      <sz val="10"/>
      <name val="Arial"/>
      <family val="2"/>
    </font>
    <font>
      <sz val="10"/>
      <color rgb="FF22222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A1538"/>
        <bgColor rgb="FF800000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A1538"/>
      <rgbColor rgb="FF008000"/>
      <rgbColor rgb="FF000080"/>
      <rgbColor rgb="FF666666"/>
      <rgbColor rgb="FF800080"/>
      <rgbColor rgb="FF008080"/>
      <rgbColor rgb="FFCCCCCC"/>
      <rgbColor rgb="FF878787"/>
      <rgbColor rgb="FF9999FF"/>
      <rgbColor rgb="FFC0504D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B2545"/>
      <rgbColor rgb="FF339966"/>
      <rgbColor rgb="FF003300"/>
      <rgbColor rgb="FF444444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Revenue by Carrier ($B)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'Revenue Overview'!C4</c:f>
              <c:strCache>
                <c:ptCount val="1"/>
                <c:pt idx="0">
                  <c:v>Total Revenue ($B)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Overview'!$A$5:$A$8</c:f>
              <c:strCache>
                <c:ptCount val="4"/>
                <c:pt idx="0">
                  <c:v>Qatar Airways Group</c:v>
                </c:pt>
                <c:pt idx="1">
                  <c:v>Emirates (airline)</c:v>
                </c:pt>
                <c:pt idx="2">
                  <c:v>Etihad Airways</c:v>
                </c:pt>
                <c:pt idx="3">
                  <c:v>Singapore Airlines Group</c:v>
                </c:pt>
              </c:strCache>
            </c:strRef>
          </c:cat>
          <c:val>
            <c:numRef>
              <c:f>'Revenue Overview'!$C$5:$C$8</c:f>
              <c:numCache>
                <c:formatCode>\$#,##0.00</c:formatCode>
                <c:ptCount val="4"/>
                <c:pt idx="0">
                  <c:v>23.22</c:v>
                </c:pt>
                <c:pt idx="1">
                  <c:v>34.9</c:v>
                </c:pt>
                <c:pt idx="2">
                  <c:v>6.9</c:v>
                </c:pt>
                <c:pt idx="3">
                  <c:v>19.54</c:v>
                </c:pt>
              </c:numCache>
            </c:numRef>
          </c:val>
        </c:ser>
        <c:gapWidth val="150"/>
        <c:overlap val="0"/>
        <c:axId val="38412442"/>
        <c:axId val="63961034"/>
      </c:barChart>
      <c:catAx>
        <c:axId val="384124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Carrier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61034"/>
        <c:crosses val="autoZero"/>
        <c:auto val="1"/>
        <c:lblAlgn val="ctr"/>
        <c:lblOffset val="100"/>
        <c:noMultiLvlLbl val="0"/>
      </c:catAx>
      <c:valAx>
        <c:axId val="639610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124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Profit by Carrier ($B)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'Revenue Overview'!D4</c:f>
              <c:strCache>
                <c:ptCount val="1"/>
                <c:pt idx="0">
                  <c:v>Net Profit ($B)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Overview'!$A$5:$A$8</c:f>
              <c:strCache>
                <c:ptCount val="4"/>
                <c:pt idx="0">
                  <c:v>Qatar Airways Group</c:v>
                </c:pt>
                <c:pt idx="1">
                  <c:v>Emirates (airline)</c:v>
                </c:pt>
                <c:pt idx="2">
                  <c:v>Etihad Airways</c:v>
                </c:pt>
                <c:pt idx="3">
                  <c:v>Singapore Airlines Group</c:v>
                </c:pt>
              </c:strCache>
            </c:strRef>
          </c:cat>
          <c:val>
            <c:numRef>
              <c:f>'Revenue Overview'!$D$5:$D$8</c:f>
              <c:numCache>
                <c:formatCode>\$#,##0.00</c:formatCode>
                <c:ptCount val="4"/>
                <c:pt idx="0">
                  <c:v>2.15</c:v>
                </c:pt>
                <c:pt idx="1">
                  <c:v>5.2</c:v>
                </c:pt>
                <c:pt idx="2">
                  <c:v>0.476</c:v>
                </c:pt>
                <c:pt idx="3">
                  <c:v>2.78</c:v>
                </c:pt>
              </c:numCache>
            </c:numRef>
          </c:val>
        </c:ser>
        <c:gapWidth val="150"/>
        <c:overlap val="0"/>
        <c:axId val="89059520"/>
        <c:axId val="71908677"/>
      </c:barChart>
      <c:catAx>
        <c:axId val="890595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Carrier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908677"/>
        <c:crosses val="autoZero"/>
        <c:auto val="1"/>
        <c:lblAlgn val="ctr"/>
        <c:lblOffset val="100"/>
        <c:noMultiLvlLbl val="0"/>
      </c:catAx>
      <c:valAx>
        <c:axId val="719086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Profit ($B)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595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of Comparison Set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'Revenue Overview'!C4</c:f>
              <c:strCache>
                <c:ptCount val="1"/>
                <c:pt idx="0">
                  <c:v>Total Revenue ($B)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'Revenue Overview'!$A$5:$A$8</c:f>
              <c:strCache>
                <c:ptCount val="4"/>
                <c:pt idx="0">
                  <c:v>Qatar Airways Group</c:v>
                </c:pt>
                <c:pt idx="1">
                  <c:v>Emirates (airline)</c:v>
                </c:pt>
                <c:pt idx="2">
                  <c:v>Etihad Airways</c:v>
                </c:pt>
                <c:pt idx="3">
                  <c:v>Singapore Airlines Group</c:v>
                </c:pt>
              </c:strCache>
            </c:strRef>
          </c:cat>
          <c:val>
            <c:numRef>
              <c:f>'Revenue Overview'!$C$5:$C$8</c:f>
              <c:numCache>
                <c:formatCode>\$#,##0.00</c:formatCode>
                <c:ptCount val="4"/>
                <c:pt idx="0">
                  <c:v>23.22</c:v>
                </c:pt>
                <c:pt idx="1">
                  <c:v>34.9</c:v>
                </c:pt>
                <c:pt idx="2">
                  <c:v>6.9</c:v>
                </c:pt>
                <c:pt idx="3">
                  <c:v>19.54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Cargo Revenue by Carrier ($B)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'Revenue by Segment'!C4</c:f>
              <c:strCache>
                <c:ptCount val="1"/>
                <c:pt idx="0">
                  <c:v>Cargo Revenue ($B)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by Segment'!$A$5:$A$8</c:f>
              <c:strCache>
                <c:ptCount val="4"/>
                <c:pt idx="0">
                  <c:v>Qatar Airways Group</c:v>
                </c:pt>
                <c:pt idx="1">
                  <c:v>Emirates (airline)</c:v>
                </c:pt>
                <c:pt idx="2">
                  <c:v>Etihad Airways</c:v>
                </c:pt>
                <c:pt idx="3">
                  <c:v>Singapore Airlines Group</c:v>
                </c:pt>
              </c:strCache>
            </c:strRef>
          </c:cat>
          <c:val>
            <c:numRef>
              <c:f>'Revenue by Segment'!$C$5:$C$8</c:f>
              <c:numCache>
                <c:formatCode>\$#,##0.00</c:formatCode>
                <c:ptCount val="4"/>
                <c:pt idx="0">
                  <c:v>4.8</c:v>
                </c:pt>
                <c:pt idx="1">
                  <c:v>4.4</c:v>
                </c:pt>
                <c:pt idx="2">
                  <c:v>1.1</c:v>
                </c:pt>
              </c:numCache>
            </c:numRef>
          </c:val>
        </c:ser>
        <c:gapWidth val="150"/>
        <c:overlap val="0"/>
        <c:axId val="40506302"/>
        <c:axId val="62333451"/>
      </c:barChart>
      <c:catAx>
        <c:axId val="405063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Carrier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33451"/>
        <c:crosses val="autoZero"/>
        <c:auto val="1"/>
        <c:lblAlgn val="ctr"/>
        <c:lblOffset val="100"/>
        <c:noMultiLvlLbl val="0"/>
      </c:catAx>
      <c:valAx>
        <c:axId val="623334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Cargo Revenue ($B)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5063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130680</xdr:rowOff>
    </xdr:from>
    <xdr:to>
      <xdr:col>6</xdr:col>
      <xdr:colOff>558720</xdr:colOff>
      <xdr:row>20</xdr:row>
      <xdr:rowOff>110880</xdr:rowOff>
    </xdr:to>
    <xdr:graphicFrame>
      <xdr:nvGraphicFramePr>
        <xdr:cNvPr id="0" name="Chart 1"/>
        <xdr:cNvGraphicFramePr/>
      </xdr:nvGraphicFramePr>
      <xdr:xfrm>
        <a:off x="0" y="380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20</xdr:row>
      <xdr:rowOff>131040</xdr:rowOff>
    </xdr:from>
    <xdr:to>
      <xdr:col>6</xdr:col>
      <xdr:colOff>558720</xdr:colOff>
      <xdr:row>39</xdr:row>
      <xdr:rowOff>111240</xdr:rowOff>
    </xdr:to>
    <xdr:graphicFrame>
      <xdr:nvGraphicFramePr>
        <xdr:cNvPr id="1" name="Chart 2"/>
        <xdr:cNvGraphicFramePr/>
      </xdr:nvGraphicFramePr>
      <xdr:xfrm>
        <a:off x="0" y="4000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1</xdr:row>
      <xdr:rowOff>130680</xdr:rowOff>
    </xdr:from>
    <xdr:to>
      <xdr:col>19</xdr:col>
      <xdr:colOff>364320</xdr:colOff>
      <xdr:row>20</xdr:row>
      <xdr:rowOff>110880</xdr:rowOff>
    </xdr:to>
    <xdr:graphicFrame>
      <xdr:nvGraphicFramePr>
        <xdr:cNvPr id="2" name="Chart 3"/>
        <xdr:cNvGraphicFramePr/>
      </xdr:nvGraphicFramePr>
      <xdr:xfrm>
        <a:off x="7755120" y="380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20</xdr:row>
      <xdr:rowOff>131040</xdr:rowOff>
    </xdr:from>
    <xdr:to>
      <xdr:col>19</xdr:col>
      <xdr:colOff>364320</xdr:colOff>
      <xdr:row>39</xdr:row>
      <xdr:rowOff>111240</xdr:rowOff>
    </xdr:to>
    <xdr:graphicFrame>
      <xdr:nvGraphicFramePr>
        <xdr:cNvPr id="3" name="Chart 4"/>
        <xdr:cNvGraphicFramePr/>
      </xdr:nvGraphicFramePr>
      <xdr:xfrm>
        <a:off x="7755120" y="4000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5"/>
    <col collapsed="false" customWidth="true" hidden="false" outlineLevel="0" max="5" min="4" style="0" width="14"/>
    <col collapsed="false" customWidth="true" hidden="false" outlineLevel="0" max="7" min="6" style="0" width="18"/>
    <col collapsed="false" customWidth="true" hidden="false" outlineLevel="0" max="8" min="8" style="0" width="3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5" t="n">
        <v>23.22</v>
      </c>
      <c r="D5" s="5" t="n">
        <v>2.15</v>
      </c>
      <c r="E5" s="6" t="n">
        <f aca="false">D5/C5</f>
        <v>0.0925925925925926</v>
      </c>
      <c r="F5" s="7" t="s">
        <v>12</v>
      </c>
      <c r="G5" s="7" t="s">
        <v>12</v>
      </c>
      <c r="H5" s="8" t="s">
        <v>13</v>
      </c>
    </row>
    <row r="6" customFormat="false" ht="15" hidden="false" customHeight="false" outlineLevel="0" collapsed="false">
      <c r="A6" s="4" t="s">
        <v>14</v>
      </c>
      <c r="B6" s="4" t="s">
        <v>11</v>
      </c>
      <c r="C6" s="5" t="n">
        <v>34.9</v>
      </c>
      <c r="D6" s="5" t="n">
        <v>5.2</v>
      </c>
      <c r="E6" s="6" t="n">
        <f aca="false">D6/C6</f>
        <v>0.148997134670487</v>
      </c>
      <c r="F6" s="4" t="n">
        <v>53.7</v>
      </c>
      <c r="G6" s="9" t="n">
        <f aca="false">C6*1000/F6</f>
        <v>649.906890130354</v>
      </c>
      <c r="H6" s="8" t="s">
        <v>15</v>
      </c>
    </row>
    <row r="7" customFormat="false" ht="15" hidden="false" customHeight="false" outlineLevel="0" collapsed="false">
      <c r="A7" s="4" t="s">
        <v>16</v>
      </c>
      <c r="B7" s="4" t="s">
        <v>17</v>
      </c>
      <c r="C7" s="5" t="n">
        <v>6.9</v>
      </c>
      <c r="D7" s="5" t="n">
        <v>0.476</v>
      </c>
      <c r="E7" s="6" t="n">
        <f aca="false">D7/C7</f>
        <v>0.0689855072463768</v>
      </c>
      <c r="F7" s="4" t="n">
        <v>18.5</v>
      </c>
      <c r="G7" s="9" t="n">
        <f aca="false">C7*1000/F7</f>
        <v>372.972972972973</v>
      </c>
      <c r="H7" s="8" t="s">
        <v>18</v>
      </c>
    </row>
    <row r="8" customFormat="false" ht="15" hidden="false" customHeight="false" outlineLevel="0" collapsed="false">
      <c r="A8" s="4" t="s">
        <v>19</v>
      </c>
      <c r="B8" s="4" t="s">
        <v>11</v>
      </c>
      <c r="C8" s="5" t="n">
        <v>19.54</v>
      </c>
      <c r="D8" s="5" t="n">
        <v>2.78</v>
      </c>
      <c r="E8" s="6" t="n">
        <f aca="false">D8/C8</f>
        <v>0.142272262026612</v>
      </c>
      <c r="F8" s="7" t="s">
        <v>12</v>
      </c>
      <c r="G8" s="7" t="s">
        <v>12</v>
      </c>
      <c r="H8" s="8" t="s">
        <v>20</v>
      </c>
    </row>
    <row r="10" customFormat="false" ht="15" hidden="false" customHeight="false" outlineLevel="0" collapsed="false">
      <c r="A10" s="10" t="s">
        <v>21</v>
      </c>
      <c r="B10" s="11"/>
      <c r="C10" s="12" t="n">
        <f aca="false">SUM(C5:C8)</f>
        <v>84.56</v>
      </c>
      <c r="D10" s="12" t="n">
        <f aca="false">SUM(D5:D8)</f>
        <v>10.606</v>
      </c>
      <c r="E10" s="11"/>
      <c r="F10" s="11"/>
      <c r="G10" s="11"/>
      <c r="H10" s="11"/>
    </row>
    <row r="12" customFormat="false" ht="15" hidden="false" customHeight="false" outlineLevel="0" collapsed="false">
      <c r="A12" s="13" t="s">
        <v>22</v>
      </c>
      <c r="B12" s="13"/>
      <c r="C12" s="13"/>
      <c r="D12" s="13"/>
      <c r="E12" s="13"/>
      <c r="F12" s="13"/>
      <c r="G12" s="13"/>
      <c r="H12" s="13"/>
    </row>
    <row r="13" customFormat="false" ht="15" hidden="false" customHeight="false" outlineLevel="0" collapsed="false">
      <c r="A13" s="3" t="s">
        <v>2</v>
      </c>
      <c r="B13" s="3" t="s">
        <v>23</v>
      </c>
    </row>
    <row r="14" customFormat="false" ht="15" hidden="false" customHeight="false" outlineLevel="0" collapsed="false">
      <c r="A14" s="14" t="str">
        <f aca="false">A5</f>
        <v>Qatar Airways Group</v>
      </c>
      <c r="B14" s="6" t="n">
        <f aca="false">C5/$C$10</f>
        <v>0.274597918637654</v>
      </c>
    </row>
    <row r="15" customFormat="false" ht="15" hidden="false" customHeight="false" outlineLevel="0" collapsed="false">
      <c r="A15" s="15" t="str">
        <f aca="false">A6</f>
        <v>Emirates (airline)</v>
      </c>
      <c r="B15" s="16" t="n">
        <f aca="false">C6/$C$10</f>
        <v>0.412724692526017</v>
      </c>
    </row>
    <row r="16" customFormat="false" ht="15" hidden="false" customHeight="false" outlineLevel="0" collapsed="false">
      <c r="A16" s="14" t="str">
        <f aca="false">A7</f>
        <v>Etihad Airways</v>
      </c>
      <c r="B16" s="6" t="n">
        <f aca="false">C7/$C$10</f>
        <v>0.0815988647114475</v>
      </c>
    </row>
    <row r="17" customFormat="false" ht="15" hidden="false" customHeight="false" outlineLevel="0" collapsed="false">
      <c r="A17" s="15" t="str">
        <f aca="false">A8</f>
        <v>Singapore Airlines Group</v>
      </c>
      <c r="B17" s="16" t="n">
        <f aca="false">C8/$C$10</f>
        <v>0.231078524124882</v>
      </c>
    </row>
    <row r="19" customFormat="false" ht="30" hidden="false" customHeight="true" outlineLevel="0" collapsed="false">
      <c r="A19" s="17" t="s">
        <v>24</v>
      </c>
      <c r="B19" s="17"/>
      <c r="C19" s="17"/>
      <c r="D19" s="17"/>
      <c r="E19" s="17"/>
      <c r="F19" s="17"/>
      <c r="G19" s="17"/>
      <c r="H19" s="17"/>
    </row>
  </sheetData>
  <mergeCells count="4">
    <mergeCell ref="A1:H1"/>
    <mergeCell ref="A2:H2"/>
    <mergeCell ref="A12:H12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8"/>
  </cols>
  <sheetData>
    <row r="1" customFormat="false" ht="19.7" hidden="false" customHeight="false" outlineLevel="0" collapsed="false">
      <c r="A1" s="1" t="s">
        <v>25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26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3" t="s">
        <v>2</v>
      </c>
      <c r="B4" s="3" t="s">
        <v>27</v>
      </c>
      <c r="C4" s="3" t="s">
        <v>28</v>
      </c>
      <c r="D4" s="3" t="s">
        <v>4</v>
      </c>
      <c r="E4" s="3" t="s">
        <v>29</v>
      </c>
      <c r="F4" s="3" t="s">
        <v>30</v>
      </c>
      <c r="G4" s="3" t="s">
        <v>31</v>
      </c>
    </row>
    <row r="5" customFormat="false" ht="15" hidden="false" customHeight="false" outlineLevel="0" collapsed="false">
      <c r="A5" s="4" t="s">
        <v>10</v>
      </c>
      <c r="B5" s="5" t="n">
        <v>23.22</v>
      </c>
      <c r="C5" s="5" t="n">
        <v>4.8</v>
      </c>
      <c r="D5" s="14" t="n">
        <f aca="false">B5+C5</f>
        <v>28.02</v>
      </c>
      <c r="E5" s="6" t="n">
        <f aca="false">C5/D5</f>
        <v>0.171306209850107</v>
      </c>
      <c r="F5" s="6" t="n">
        <f aca="false">B5/D5</f>
        <v>0.828693790149893</v>
      </c>
      <c r="G5" s="4" t="s">
        <v>32</v>
      </c>
    </row>
    <row r="6" customFormat="false" ht="15" hidden="false" customHeight="false" outlineLevel="0" collapsed="false">
      <c r="A6" s="4" t="s">
        <v>14</v>
      </c>
      <c r="B6" s="5" t="n">
        <v>34.9</v>
      </c>
      <c r="C6" s="5" t="n">
        <v>4.4</v>
      </c>
      <c r="D6" s="14" t="n">
        <f aca="false">B6+C6</f>
        <v>39.3</v>
      </c>
      <c r="E6" s="6" t="n">
        <f aca="false">C6/D6</f>
        <v>0.111959287531807</v>
      </c>
      <c r="F6" s="6" t="n">
        <f aca="false">B6/D6</f>
        <v>0.888040712468193</v>
      </c>
      <c r="G6" s="4" t="s">
        <v>12</v>
      </c>
    </row>
    <row r="7" customFormat="false" ht="15" hidden="false" customHeight="false" outlineLevel="0" collapsed="false">
      <c r="A7" s="4" t="s">
        <v>16</v>
      </c>
      <c r="B7" s="5" t="n">
        <v>5.8</v>
      </c>
      <c r="C7" s="5" t="n">
        <v>1.1</v>
      </c>
      <c r="D7" s="14" t="n">
        <f aca="false">B7+C7</f>
        <v>6.9</v>
      </c>
      <c r="E7" s="6" t="n">
        <f aca="false">C7/D7</f>
        <v>0.159420289855072</v>
      </c>
      <c r="F7" s="6" t="n">
        <f aca="false">B7/D7</f>
        <v>0.840579710144928</v>
      </c>
      <c r="G7" s="4" t="s">
        <v>33</v>
      </c>
    </row>
    <row r="8" customFormat="false" ht="15" hidden="false" customHeight="false" outlineLevel="0" collapsed="false">
      <c r="A8" s="4" t="s">
        <v>19</v>
      </c>
      <c r="B8" s="7" t="s">
        <v>12</v>
      </c>
      <c r="C8" s="7" t="s">
        <v>12</v>
      </c>
      <c r="D8" s="5" t="n">
        <v>19.54</v>
      </c>
      <c r="E8" s="7" t="s">
        <v>12</v>
      </c>
      <c r="F8" s="7" t="s">
        <v>12</v>
      </c>
      <c r="G8" s="4" t="s">
        <v>12</v>
      </c>
    </row>
    <row r="10" customFormat="false" ht="45" hidden="false" customHeight="true" outlineLevel="0" collapsed="false">
      <c r="A10" s="17" t="s">
        <v>34</v>
      </c>
      <c r="B10" s="17"/>
      <c r="C10" s="17"/>
      <c r="D10" s="17"/>
      <c r="E10" s="17"/>
      <c r="F10" s="17"/>
      <c r="G10" s="17"/>
    </row>
  </sheetData>
  <mergeCells count="3">
    <mergeCell ref="A1:G1"/>
    <mergeCell ref="A2:G2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30"/>
    <col collapsed="false" customWidth="true" hidden="false" outlineLevel="0" max="7" min="7" style="0" width="26"/>
  </cols>
  <sheetData>
    <row r="1" customFormat="false" ht="19.7" hidden="false" customHeight="false" outlineLevel="0" collapsed="false">
      <c r="A1" s="1" t="s">
        <v>35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3" t="s">
        <v>2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</row>
    <row r="4" customFormat="false" ht="45" hidden="false" customHeight="true" outlineLevel="0" collapsed="false">
      <c r="A4" s="18" t="s">
        <v>10</v>
      </c>
      <c r="B4" s="18" t="s">
        <v>42</v>
      </c>
      <c r="C4" s="18" t="s">
        <v>43</v>
      </c>
      <c r="D4" s="18" t="s">
        <v>44</v>
      </c>
      <c r="E4" s="19" t="s">
        <v>45</v>
      </c>
      <c r="F4" s="19" t="s">
        <v>46</v>
      </c>
      <c r="G4" s="19" t="s">
        <v>47</v>
      </c>
    </row>
    <row r="5" customFormat="false" ht="45" hidden="false" customHeight="true" outlineLevel="0" collapsed="false">
      <c r="A5" s="18" t="s">
        <v>14</v>
      </c>
      <c r="B5" s="18" t="s">
        <v>42</v>
      </c>
      <c r="C5" s="18" t="s">
        <v>48</v>
      </c>
      <c r="D5" s="18" t="s">
        <v>49</v>
      </c>
      <c r="E5" s="19" t="s">
        <v>50</v>
      </c>
      <c r="F5" s="19" t="s">
        <v>51</v>
      </c>
      <c r="G5" s="19" t="s">
        <v>52</v>
      </c>
    </row>
    <row r="6" customFormat="false" ht="45" hidden="false" customHeight="true" outlineLevel="0" collapsed="false">
      <c r="A6" s="18" t="s">
        <v>16</v>
      </c>
      <c r="B6" s="18" t="s">
        <v>53</v>
      </c>
      <c r="C6" s="18" t="s">
        <v>54</v>
      </c>
      <c r="D6" s="18" t="s">
        <v>55</v>
      </c>
      <c r="E6" s="19" t="s">
        <v>56</v>
      </c>
      <c r="F6" s="19" t="s">
        <v>57</v>
      </c>
      <c r="G6" s="19" t="s">
        <v>58</v>
      </c>
    </row>
    <row r="7" customFormat="false" ht="45" hidden="false" customHeight="true" outlineLevel="0" collapsed="false">
      <c r="A7" s="18" t="s">
        <v>19</v>
      </c>
      <c r="B7" s="18" t="s">
        <v>59</v>
      </c>
      <c r="C7" s="18" t="s">
        <v>60</v>
      </c>
      <c r="D7" s="18" t="s">
        <v>12</v>
      </c>
      <c r="E7" s="19" t="s">
        <v>61</v>
      </c>
      <c r="F7" s="19" t="s">
        <v>62</v>
      </c>
      <c r="G7" s="19" t="s">
        <v>52</v>
      </c>
    </row>
    <row r="9" customFormat="false" ht="30" hidden="false" customHeight="true" outlineLevel="0" collapsed="false">
      <c r="A9" s="17" t="s">
        <v>63</v>
      </c>
      <c r="B9" s="17"/>
      <c r="C9" s="17"/>
      <c r="D9" s="17"/>
      <c r="E9" s="17"/>
      <c r="F9" s="17"/>
      <c r="G9" s="17"/>
    </row>
  </sheetData>
  <mergeCells count="2">
    <mergeCell ref="A1:G1"/>
    <mergeCell ref="A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</cols>
  <sheetData>
    <row r="1" customFormat="false" ht="19.7" hidden="false" customHeight="false" outlineLevel="0" collapsed="false">
      <c r="A1" s="1" t="s">
        <v>64</v>
      </c>
      <c r="B1" s="1"/>
      <c r="C1" s="1"/>
      <c r="D1" s="1"/>
      <c r="E1" s="1"/>
      <c r="F1" s="1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2026-07-23T02:43:17Z</dcterms:created>
  <dc:creator>openpyxl</dc:creator>
  <dc:description/>
  <dc:language>en-US</dc:language>
  <cp:lastModifiedBy/>
  <dcterms:modified xsi:type="dcterms:W3CDTF">2026-07-23T02:43:24Z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