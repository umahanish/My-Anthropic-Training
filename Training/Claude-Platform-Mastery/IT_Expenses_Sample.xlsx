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 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<sst xmlns="http://schemas.openxmlformats.org/spreadsheetml/2006/main" count="21" uniqueCount="21">
  <si>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IT Department Quarterly Expenses — FY2025 (Sample Data for Training)</t>
  </si>
  <si>
    <t xml:space="preserve">Used for Lab 1.2: "Which three expense categories grew the fastest over the last two quarters, and by how much?"</t>
  </si>
  <si>
    <t xml:space="preserve">Category</t>
  </si>
  <si>
    <t xml:space="preserve">Q1 2025</t>
  </si>
  <si>
    <t xml:space="preserve">Q2 2025</t>
  </si>
  <si>
    <t xml:space="preserve">Q3 2025</t>
  </si>
  <si>
    <t xml:space="preserve">Q4 2025</t>
  </si>
  <si>
    <t xml:space="preserve">Growth $ (Q2→Q4)</t>
  </si>
  <si>
    <t xml:space="preserve">Growth % (Q2→Q4)</t>
  </si>
  <si>
    <t xml:space="preserve">Cloud Hosting (AWS/Azure)</t>
  </si>
  <si>
    <t xml:space="preserve">Contractor &amp; Vendor Services</t>
  </si>
  <si>
    <t xml:space="preserve">Security Tools &amp; Compliance</t>
  </si>
  <si>
    <t xml:space="preserve">Employee Training &amp; Certifications</t>
  </si>
  <si>
    <t xml:space="preserve">Software Licenses (SaaS)</t>
  </si>
  <si>
    <t xml:space="preserve">Networking &amp; Telecom</t>
  </si>
  <si>
    <t xml:space="preserve">Support &amp; Maintenance Contracts</t>
  </si>
  <si>
    <t xml:space="preserve">Travel (IT Team)</t>
  </si>
  <si>
    <t xml:space="preserve">Office IT Supplies</t>
  </si>
  <si>
    <t xml:space="preserve">Hardware &amp; Equipment</t>
  </si>
  <si>
    <t xml:space="preserve">Total</t>
  </si>
  <si>
    <t xml:space="preserve">Note: Sample figures generated for training purposes only — not real company financials.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</si>
</sst>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&quot;($&quot;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2A44"/>
      <name val="Arial"/>
      <family val="0"/>
      <charset val="1"/>
    </font>
    <font>
      <i val="true"/>
      <sz val="9"/>
      <color rgb="FF5B6178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color rgb="FF222222"/>
      <name val="Arial"/>
      <family val="0"/>
      <charset val="1"/>
    </font>
    <font>
      <b val="true"/>
      <sz val="10.5"/>
      <color rgb="FF1F2A44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EEF1F7"/>
        <bgColor rgb="FFFFFFFF"/>
      </patternFill>
    </fill>
    <fill>
      <patternFill patternType="solid">
        <fgColor rgb="FFD9DEEA"/>
        <bgColor rgb="FFEEF1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DCC"/>
      </left>
      <right style="thin">
        <color rgb="FFB7BDCC"/>
      </right>
      <top style="thin">
        <color rgb="FFB7BDCC"/>
      </top>
      <bottom style="thin">
        <color rgb="FFB7BD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DCC"/>
      <rgbColor rgb="FF808080"/>
      <rgbColor rgb="FF9999FF"/>
      <rgbColor rgb="FF993366"/>
      <rgbColor rgb="FFEEF1F7"/>
      <rgbColor rgb="FFCCFFFF"/>
      <rgbColor rgb="FF660066"/>
      <rgbColor rgb="FFFF8080"/>
      <rgbColor rgb="FF0066CC"/>
      <rgbColor rgb="FFD9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178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 t="n">
        <v>42000</v>
      </c>
      <c r="C5" s="6" t="n">
        <v>45000</v>
      </c>
      <c r="D5" s="6" t="n">
        <v>54000</v>
      </c>
      <c r="E5" s="6" t="n">
        <v>63000</v>
      </c>
      <c r="F5" s="7" t="n">
        <f aca="false">E5-C5</f>
        <v>18000</v>
      </c>
      <c r="G5" s="8" t="n">
        <f aca="false">(E5-C5)/C5</f>
        <v>0.4</v>
      </c>
    </row>
    <row r="6" customFormat="false" ht="15" hidden="false" customHeight="false" outlineLevel="0" collapsed="false">
      <c r="A6" s="9" t="s">
        <v>10</v>
      </c>
      <c r="B6" s="10" t="n">
        <v>30000</v>
      </c>
      <c r="C6" s="10" t="n">
        <v>32000</v>
      </c>
      <c r="D6" s="10" t="n">
        <v>40000</v>
      </c>
      <c r="E6" s="10" t="n">
        <v>47000</v>
      </c>
      <c r="F6" s="11" t="n">
        <f aca="false">E6-C6</f>
        <v>15000</v>
      </c>
      <c r="G6" s="12" t="n">
        <f aca="false">(E6-C6)/C6</f>
        <v>0.46875</v>
      </c>
    </row>
    <row r="7" customFormat="false" ht="15" hidden="false" customHeight="false" outlineLevel="0" collapsed="false">
      <c r="A7" s="5" t="s">
        <v>11</v>
      </c>
      <c r="B7" s="6" t="n">
        <v>15000</v>
      </c>
      <c r="C7" s="6" t="n">
        <v>16000</v>
      </c>
      <c r="D7" s="6" t="n">
        <v>20000</v>
      </c>
      <c r="E7" s="6" t="n">
        <v>24000</v>
      </c>
      <c r="F7" s="7" t="n">
        <f aca="false">E7-C7</f>
        <v>8000</v>
      </c>
      <c r="G7" s="8" t="n">
        <f aca="false">(E7-C7)/C7</f>
        <v>0.5</v>
      </c>
    </row>
    <row r="8" customFormat="false" ht="15" hidden="false" customHeight="false" outlineLevel="0" collapsed="false">
      <c r="A8" s="9" t="s">
        <v>12</v>
      </c>
      <c r="B8" s="10" t="n">
        <v>8000</v>
      </c>
      <c r="C8" s="10" t="n">
        <v>8500</v>
      </c>
      <c r="D8" s="10" t="n">
        <v>9500</v>
      </c>
      <c r="E8" s="10" t="n">
        <v>10200</v>
      </c>
      <c r="F8" s="11" t="n">
        <f aca="false">E8-C8</f>
        <v>1700</v>
      </c>
      <c r="G8" s="12" t="n">
        <f aca="false">(E8-C8)/C8</f>
        <v>0.2</v>
      </c>
    </row>
    <row r="9" customFormat="false" ht="15" hidden="false" customHeight="false" outlineLevel="0" collapsed="false">
      <c r="A9" s="5" t="s">
        <v>13</v>
      </c>
      <c r="B9" s="6" t="n">
        <v>28000</v>
      </c>
      <c r="C9" s="6" t="n">
        <v>29000</v>
      </c>
      <c r="D9" s="6" t="n">
        <v>31000</v>
      </c>
      <c r="E9" s="6" t="n">
        <v>33000</v>
      </c>
      <c r="F9" s="7" t="n">
        <f aca="false">E9-C9</f>
        <v>4000</v>
      </c>
      <c r="G9" s="8" t="n">
        <f aca="false">(E9-C9)/C9</f>
        <v>0.137931034482759</v>
      </c>
    </row>
    <row r="10" customFormat="false" ht="15" hidden="false" customHeight="false" outlineLevel="0" collapsed="false">
      <c r="A10" s="9" t="s">
        <v>14</v>
      </c>
      <c r="B10" s="10" t="n">
        <v>18000</v>
      </c>
      <c r="C10" s="10" t="n">
        <v>18500</v>
      </c>
      <c r="D10" s="10" t="n">
        <v>19000</v>
      </c>
      <c r="E10" s="10" t="n">
        <v>19500</v>
      </c>
      <c r="F10" s="11" t="n">
        <f aca="false">E10-C10</f>
        <v>1000</v>
      </c>
      <c r="G10" s="12" t="n">
        <f aca="false">(E10-C10)/C10</f>
        <v>0.0540540540540541</v>
      </c>
    </row>
    <row r="11" customFormat="false" ht="15" hidden="false" customHeight="false" outlineLevel="0" collapsed="false">
      <c r="A11" s="5" t="s">
        <v>15</v>
      </c>
      <c r="B11" s="6" t="n">
        <v>22000</v>
      </c>
      <c r="C11" s="6" t="n">
        <v>22500</v>
      </c>
      <c r="D11" s="6" t="n">
        <v>23000</v>
      </c>
      <c r="E11" s="6" t="n">
        <v>23200</v>
      </c>
      <c r="F11" s="7" t="n">
        <f aca="false">E11-C11</f>
        <v>700</v>
      </c>
      <c r="G11" s="8" t="n">
        <f aca="false">(E11-C11)/C11</f>
        <v>0.0311111111111111</v>
      </c>
    </row>
    <row r="12" customFormat="false" ht="15" hidden="false" customHeight="false" outlineLevel="0" collapsed="false">
      <c r="A12" s="9" t="s">
        <v>16</v>
      </c>
      <c r="B12" s="10" t="n">
        <v>6000</v>
      </c>
      <c r="C12" s="10" t="n">
        <v>6200</v>
      </c>
      <c r="D12" s="10" t="n">
        <v>6000</v>
      </c>
      <c r="E12" s="10" t="n">
        <v>5800</v>
      </c>
      <c r="F12" s="11" t="n">
        <f aca="false">E12-C12</f>
        <v>-400</v>
      </c>
      <c r="G12" s="12" t="n">
        <f aca="false">(E12-C12)/C12</f>
        <v>-0.0645161290322581</v>
      </c>
    </row>
    <row r="13" customFormat="false" ht="15" hidden="false" customHeight="false" outlineLevel="0" collapsed="false">
      <c r="A13" s="5" t="s">
        <v>17</v>
      </c>
      <c r="B13" s="6" t="n">
        <v>5000</v>
      </c>
      <c r="C13" s="6" t="n">
        <v>4800</v>
      </c>
      <c r="D13" s="6" t="n">
        <v>4500</v>
      </c>
      <c r="E13" s="6" t="n">
        <v>4200</v>
      </c>
      <c r="F13" s="7" t="n">
        <f aca="false">E13-C13</f>
        <v>-600</v>
      </c>
      <c r="G13" s="8" t="n">
        <f aca="false">(E13-C13)/C13</f>
        <v>-0.125</v>
      </c>
    </row>
    <row r="14" customFormat="false" ht="15" hidden="false" customHeight="false" outlineLevel="0" collapsed="false">
      <c r="A14" s="9" t="s">
        <v>18</v>
      </c>
      <c r="B14" s="10" t="n">
        <v>35000</v>
      </c>
      <c r="C14" s="10" t="n">
        <v>20000</v>
      </c>
      <c r="D14" s="10" t="n">
        <v>18000</v>
      </c>
      <c r="E14" s="10" t="n">
        <v>16000</v>
      </c>
      <c r="F14" s="11" t="n">
        <f aca="false">E14-C14</f>
        <v>-4000</v>
      </c>
      <c r="G14" s="12" t="n">
        <f aca="false">(E14-C14)/C14</f>
        <v>-0.2</v>
      </c>
    </row>
    <row r="15" customFormat="false" ht="15" hidden="false" customHeight="false" outlineLevel="0" collapsed="false">
      <c r="A15" s="13" t="s">
        <v>19</v>
      </c>
      <c r="B15" s="14" t="n">
        <f aca="false">SUM(B5:B14)</f>
        <v>209000</v>
      </c>
      <c r="C15" s="14" t="n">
        <f aca="false">SUM(C5:C14)</f>
        <v>202500</v>
      </c>
      <c r="D15" s="14" t="n">
        <f aca="false">SUM(D5:D14)</f>
        <v>225000</v>
      </c>
      <c r="E15" s="14" t="n">
        <f aca="false">SUM(E5:E14)</f>
        <v>245900</v>
      </c>
      <c r="F15" s="15" t="n">
        <f aca="false">E15-C15</f>
        <v>43400</v>
      </c>
      <c r="G15" s="16" t="n">
        <f aca="false">(E15-C15)/C15</f>
        <v>0.214320987654321</v>
      </c>
    </row>
    <row r="17" customFormat="false" ht="15" hidden="false" customHeight="false" outlineLevel="0" collapsed="false">
      <c r="A17" s="17" t="s">
        <v>20</v>
      </c>
      <c r="B17" s="17"/>
      <c r="C17" s="17"/>
      <c r="D17" s="17"/>
      <c r="E17" s="17"/>
      <c r="F17" s="17"/>
      <c r="G17" s="17"/>
    </row>
  </sheetData>
  <mergeCells count="3">
    <mergeCell ref="A1:G1"/>
    <mergeCell ref="A2:G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2026-07-24T03:55:48Z</dcterms:created>
  <dc:creator>openpyxl</dc:creator>
  <dc:description/>
  <dc:language>en-US</dc:language>
  <cp:lastModifiedBy/>
  <dcterms:modified xsi:type="dcterms:W3CDTF">2026-07-24T03:55:48Z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